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<sst xmlns="http://schemas.openxmlformats.org/spreadsheetml/2006/main" count="270" uniqueCount="202">
  <si>
    <t>TF_name</t>
  </si>
  <si>
    <t>HUMAN_monoPWMs</t>
  </si>
  <si>
    <t>HUMAN_diPWMs</t>
  </si>
  <si>
    <t>MOUSE_monoPWMs</t>
  </si>
  <si>
    <t>MOUSE_diPWMs</t>
  </si>
  <si>
    <t>HUMAN_datasets</t>
  </si>
  <si>
    <t>HUMAN_peaks_raw</t>
  </si>
  <si>
    <t>HUMAN_train_set</t>
  </si>
  <si>
    <t>HUMAN_test_set</t>
  </si>
  <si>
    <t>MOUSE_datasets</t>
  </si>
  <si>
    <t>MOUSE_peaks_raw</t>
  </si>
  <si>
    <t>MOUSE_test_set</t>
  </si>
  <si>
    <t>HUMAN_train_pos_GC%</t>
  </si>
  <si>
    <t>HUMAN_train_neg_GC%</t>
  </si>
  <si>
    <t>HUMAN_test_pos_GC%</t>
  </si>
  <si>
    <t>HUMAN_test_neg_GC%</t>
  </si>
  <si>
    <t>MOUSE_test_pos_GC%</t>
  </si>
  <si>
    <t>MOUSE_test_neg_GC%</t>
  </si>
  <si>
    <t>ANDR</t>
  </si>
  <si>
    <t>43.876</t>
  </si>
  <si>
    <t>51.577</t>
  </si>
  <si>
    <t>43.581</t>
  </si>
  <si>
    <t>53.534</t>
  </si>
  <si>
    <t>47.734</t>
  </si>
  <si>
    <t>51.16</t>
  </si>
  <si>
    <t>AP2A</t>
  </si>
  <si>
    <t>52.119</t>
  </si>
  <si>
    <t>50.901</t>
  </si>
  <si>
    <t>52.367</t>
  </si>
  <si>
    <t>52.218</t>
  </si>
  <si>
    <t>59.016</t>
  </si>
  <si>
    <t>50.585</t>
  </si>
  <si>
    <t>CEBPB</t>
  </si>
  <si>
    <t>47.074</t>
  </si>
  <si>
    <t>51.808</t>
  </si>
  <si>
    <t>47.623</t>
  </si>
  <si>
    <t>52.779</t>
  </si>
  <si>
    <t>47.461</t>
  </si>
  <si>
    <t>51.096</t>
  </si>
  <si>
    <t>COE1</t>
  </si>
  <si>
    <t>51.802</t>
  </si>
  <si>
    <t>50.827</t>
  </si>
  <si>
    <t>52.195</t>
  </si>
  <si>
    <t>52.193</t>
  </si>
  <si>
    <t>52.482</t>
  </si>
  <si>
    <t>50.72</t>
  </si>
  <si>
    <t>CTCF</t>
  </si>
  <si>
    <t>55.864</t>
  </si>
  <si>
    <t>50.57</t>
  </si>
  <si>
    <t>54.637</t>
  </si>
  <si>
    <t>51.762</t>
  </si>
  <si>
    <t>53.424</t>
  </si>
  <si>
    <t>50.575</t>
  </si>
  <si>
    <t>E2F4</t>
  </si>
  <si>
    <t>62.956</t>
  </si>
  <si>
    <t>50.777</t>
  </si>
  <si>
    <t>63.227</t>
  </si>
  <si>
    <t>52.147</t>
  </si>
  <si>
    <t>60.988</t>
  </si>
  <si>
    <t>50.553</t>
  </si>
  <si>
    <t>ERG</t>
  </si>
  <si>
    <t>47.035</t>
  </si>
  <si>
    <t>51.105</t>
  </si>
  <si>
    <t>46.542</t>
  </si>
  <si>
    <t>52.474</t>
  </si>
  <si>
    <t>60.248</t>
  </si>
  <si>
    <t>50.406</t>
  </si>
  <si>
    <t>ESR1</t>
  </si>
  <si>
    <t>52.752</t>
  </si>
  <si>
    <t>51.464</t>
  </si>
  <si>
    <t>50.365</t>
  </si>
  <si>
    <t>FLI1</t>
  </si>
  <si>
    <t>58.816</t>
  </si>
  <si>
    <t>58.357</t>
  </si>
  <si>
    <t>58.122</t>
  </si>
  <si>
    <t>GATA1</t>
  </si>
  <si>
    <t>48.554</t>
  </si>
  <si>
    <t>51.468</t>
  </si>
  <si>
    <t>48.526</t>
  </si>
  <si>
    <t>52.712</t>
  </si>
  <si>
    <t>49.987</t>
  </si>
  <si>
    <t>50.877</t>
  </si>
  <si>
    <t>GATA2</t>
  </si>
  <si>
    <t>48.004</t>
  </si>
  <si>
    <t>48.121</t>
  </si>
  <si>
    <t>49.83</t>
  </si>
  <si>
    <t>GATA3</t>
  </si>
  <si>
    <t>43.48</t>
  </si>
  <si>
    <t>43.961</t>
  </si>
  <si>
    <t>47.329</t>
  </si>
  <si>
    <t>GCR</t>
  </si>
  <si>
    <t>45.133</t>
  </si>
  <si>
    <t>44.378</t>
  </si>
  <si>
    <t>47.579</t>
  </si>
  <si>
    <t>HNF4A</t>
  </si>
  <si>
    <t>49.853</t>
  </si>
  <si>
    <t>50.544</t>
  </si>
  <si>
    <t>49.992</t>
  </si>
  <si>
    <t>IRF1</t>
  </si>
  <si>
    <t>48.11</t>
  </si>
  <si>
    <t>46.494</t>
  </si>
  <si>
    <t>46.332</t>
  </si>
  <si>
    <t>IRF4</t>
  </si>
  <si>
    <t>47.39</t>
  </si>
  <si>
    <t>47.313</t>
  </si>
  <si>
    <t>49.79</t>
  </si>
  <si>
    <t>JUND</t>
  </si>
  <si>
    <t>43.736</t>
  </si>
  <si>
    <t>44.573</t>
  </si>
  <si>
    <t>48.001</t>
  </si>
  <si>
    <t>MAFK</t>
  </si>
  <si>
    <t>45.429</t>
  </si>
  <si>
    <t>45.546</t>
  </si>
  <si>
    <t>45.067</t>
  </si>
  <si>
    <t>MAX</t>
  </si>
  <si>
    <t>63.708</t>
  </si>
  <si>
    <t>49.214</t>
  </si>
  <si>
    <t>63.238</t>
  </si>
  <si>
    <t>49.851</t>
  </si>
  <si>
    <t>59.7</t>
  </si>
  <si>
    <t>49.956</t>
  </si>
  <si>
    <t>MYC</t>
  </si>
  <si>
    <t>65.412</t>
  </si>
  <si>
    <t>64.913</t>
  </si>
  <si>
    <t>61.699</t>
  </si>
  <si>
    <t>P53</t>
  </si>
  <si>
    <t>42.304</t>
  </si>
  <si>
    <t>50.936</t>
  </si>
  <si>
    <t>42.364</t>
  </si>
  <si>
    <t>52.245</t>
  </si>
  <si>
    <t>48.345</t>
  </si>
  <si>
    <t>50.738</t>
  </si>
  <si>
    <t>PPARG</t>
  </si>
  <si>
    <t>46.583</t>
  </si>
  <si>
    <t>46.953</t>
  </si>
  <si>
    <t>48.399</t>
  </si>
  <si>
    <t>PRGR</t>
  </si>
  <si>
    <t>49.076</t>
  </si>
  <si>
    <t>48.56</t>
  </si>
  <si>
    <t>46.864</t>
  </si>
  <si>
    <t>REST</t>
  </si>
  <si>
    <t>53.539</t>
  </si>
  <si>
    <t>53.123</t>
  </si>
  <si>
    <t>52.854</t>
  </si>
  <si>
    <t>RUNX1</t>
  </si>
  <si>
    <t>50.225</t>
  </si>
  <si>
    <t>50.942</t>
  </si>
  <si>
    <t>50.59</t>
  </si>
  <si>
    <t>52.266</t>
  </si>
  <si>
    <t>53.105</t>
  </si>
  <si>
    <t>50.652</t>
  </si>
  <si>
    <t>RXRA</t>
  </si>
  <si>
    <t>49.215</t>
  </si>
  <si>
    <t>SOX2</t>
  </si>
  <si>
    <t>47.667</t>
  </si>
  <si>
    <t>51.001</t>
  </si>
  <si>
    <t>48.706</t>
  </si>
  <si>
    <t>52.273</t>
  </si>
  <si>
    <t>46.604</t>
  </si>
  <si>
    <t>50.846</t>
  </si>
  <si>
    <t>SPI1</t>
  </si>
  <si>
    <t>51.45</t>
  </si>
  <si>
    <t>51.572</t>
  </si>
  <si>
    <t>49.328</t>
  </si>
  <si>
    <t>SRF</t>
  </si>
  <si>
    <t>54.871</t>
  </si>
  <si>
    <t>50.772</t>
  </si>
  <si>
    <t>54.819</t>
  </si>
  <si>
    <t>52.163</t>
  </si>
  <si>
    <t>56.3</t>
  </si>
  <si>
    <t>50.689</t>
  </si>
  <si>
    <t>STA5A</t>
  </si>
  <si>
    <t>50.263</t>
  </si>
  <si>
    <t>50.941</t>
  </si>
  <si>
    <t>50.001</t>
  </si>
  <si>
    <t>52.309</t>
  </si>
  <si>
    <t>46.857</t>
  </si>
  <si>
    <t>50.902</t>
  </si>
  <si>
    <t>STAT1</t>
  </si>
  <si>
    <t>50.565</t>
  </si>
  <si>
    <t>48.44</t>
  </si>
  <si>
    <t>47.767</t>
  </si>
  <si>
    <t>STAT3</t>
  </si>
  <si>
    <t>49.841</t>
  </si>
  <si>
    <t>49.035</t>
  </si>
  <si>
    <t>51.894</t>
  </si>
  <si>
    <t>TAL1</t>
  </si>
  <si>
    <t>49.234</t>
  </si>
  <si>
    <t>49.291</t>
  </si>
  <si>
    <t>49.958</t>
  </si>
  <si>
    <t>TF65</t>
  </si>
  <si>
    <t>59.256</t>
  </si>
  <si>
    <t>57.79</t>
  </si>
  <si>
    <t>49.081</t>
  </si>
  <si>
    <t>TFE2</t>
  </si>
  <si>
    <t>59.315</t>
  </si>
  <si>
    <t>57.573</t>
  </si>
  <si>
    <t>54.329</t>
  </si>
  <si>
    <t>USF2</t>
  </si>
  <si>
    <t>61.598</t>
  </si>
  <si>
    <t>60.938</t>
  </si>
  <si>
    <t>56.721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</si>
</sst>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8.63"/>
    <col customWidth="1" min="3" max="3" width="16.63"/>
    <col customWidth="1" min="4" max="4" width="18.5"/>
    <col customWidth="1" min="5" max="6" width="16.63"/>
    <col customWidth="1" min="7" max="7" width="18.63"/>
    <col customWidth="1" min="8" max="8" width="16.63"/>
    <col customWidth="1" min="9" max="9" width="15.38"/>
    <col customWidth="1" min="10" max="10" width="15.63"/>
    <col customWidth="1" min="11" max="11" width="17.13"/>
    <col customWidth="1" min="12" max="12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 t="s">
        <v>18</v>
      </c>
      <c r="B2" s="4">
        <v>196.0</v>
      </c>
      <c r="C2" s="4">
        <v>108.0</v>
      </c>
      <c r="D2" s="4">
        <v>32.0</v>
      </c>
      <c r="E2" s="5">
        <v>16.0</v>
      </c>
      <c r="F2" s="5">
        <v>31.0</v>
      </c>
      <c r="G2" s="3">
        <v>44123.0</v>
      </c>
      <c r="H2" s="3">
        <v>10000.0</v>
      </c>
      <c r="I2" s="3">
        <v>7186.0</v>
      </c>
      <c r="J2" s="5">
        <v>13.0</v>
      </c>
      <c r="K2" s="3">
        <v>31362.0</v>
      </c>
      <c r="L2" s="3">
        <v>10000.0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</row>
    <row r="3">
      <c r="A3" s="3" t="s">
        <v>25</v>
      </c>
      <c r="B3" s="4">
        <v>6.0</v>
      </c>
      <c r="C3" s="4">
        <v>3.0</v>
      </c>
      <c r="D3" s="4">
        <v>8.0</v>
      </c>
      <c r="E3" s="4">
        <v>4.0</v>
      </c>
      <c r="F3" s="4">
        <v>2.0</v>
      </c>
      <c r="G3" s="3">
        <v>3576.0</v>
      </c>
      <c r="H3" s="3">
        <v>2406.0</v>
      </c>
      <c r="I3" s="3">
        <v>636.0</v>
      </c>
      <c r="J3" s="4">
        <v>3.0</v>
      </c>
      <c r="K3" s="3">
        <v>8000.0</v>
      </c>
      <c r="L3" s="3">
        <v>6980.0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</row>
    <row r="4">
      <c r="A4" s="3" t="s">
        <v>32</v>
      </c>
      <c r="B4" s="4">
        <v>20.0</v>
      </c>
      <c r="C4" s="4">
        <v>10.0</v>
      </c>
      <c r="D4" s="4">
        <v>86.0</v>
      </c>
      <c r="E4" s="4">
        <v>42.0</v>
      </c>
      <c r="F4" s="4">
        <v>9.0</v>
      </c>
      <c r="G4" s="3">
        <v>14672.0</v>
      </c>
      <c r="H4" s="3">
        <v>10000.0</v>
      </c>
      <c r="I4" s="3">
        <v>2068.0</v>
      </c>
      <c r="J4" s="4">
        <v>17.0</v>
      </c>
      <c r="K4" s="3">
        <v>85348.0</v>
      </c>
      <c r="L4" s="3">
        <v>10000.0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</row>
    <row r="5">
      <c r="A5" s="3" t="s">
        <v>39</v>
      </c>
      <c r="B5" s="4">
        <v>10.0</v>
      </c>
      <c r="C5" s="4">
        <v>5.0</v>
      </c>
      <c r="D5" s="4">
        <v>30.0</v>
      </c>
      <c r="E5" s="4">
        <v>14.0</v>
      </c>
      <c r="F5" s="4">
        <v>3.0</v>
      </c>
      <c r="G5" s="3">
        <v>5412.0</v>
      </c>
      <c r="H5" s="3">
        <v>3924.0</v>
      </c>
      <c r="I5" s="3">
        <v>794.0</v>
      </c>
      <c r="J5" s="4">
        <v>5.0</v>
      </c>
      <c r="K5" s="3">
        <v>29864.0</v>
      </c>
      <c r="L5" s="3">
        <v>10000.0</v>
      </c>
      <c r="M5" s="3" t="s">
        <v>40</v>
      </c>
      <c r="N5" s="3" t="s">
        <v>41</v>
      </c>
      <c r="O5" s="3" t="s">
        <v>42</v>
      </c>
      <c r="P5" s="3" t="s">
        <v>43</v>
      </c>
      <c r="Q5" s="3" t="s">
        <v>44</v>
      </c>
      <c r="R5" s="3" t="s">
        <v>45</v>
      </c>
    </row>
    <row r="6">
      <c r="A6" s="3" t="s">
        <v>46</v>
      </c>
      <c r="B6" s="4">
        <v>198.0</v>
      </c>
      <c r="C6" s="4">
        <v>99.0</v>
      </c>
      <c r="D6" s="4">
        <v>146.0</v>
      </c>
      <c r="E6" s="4">
        <v>73.0</v>
      </c>
      <c r="F6" s="4">
        <v>57.0</v>
      </c>
      <c r="G6" s="3">
        <v>108578.0</v>
      </c>
      <c r="H6" s="3">
        <v>10000.0</v>
      </c>
      <c r="I6" s="3">
        <v>10000.0</v>
      </c>
      <c r="J6" s="4">
        <v>51.0</v>
      </c>
      <c r="K6" s="3">
        <v>145746.0</v>
      </c>
      <c r="L6" s="3">
        <v>10000.0</v>
      </c>
      <c r="M6" s="3" t="s">
        <v>47</v>
      </c>
      <c r="N6" s="3" t="s">
        <v>48</v>
      </c>
      <c r="O6" s="3" t="s">
        <v>49</v>
      </c>
      <c r="P6" s="3" t="s">
        <v>50</v>
      </c>
      <c r="Q6" s="3" t="s">
        <v>51</v>
      </c>
      <c r="R6" s="3" t="s">
        <v>52</v>
      </c>
    </row>
    <row r="7">
      <c r="A7" s="3" t="s">
        <v>53</v>
      </c>
      <c r="B7" s="4">
        <v>7.0</v>
      </c>
      <c r="C7" s="4">
        <v>4.0</v>
      </c>
      <c r="D7" s="4">
        <v>8.0</v>
      </c>
      <c r="E7" s="4">
        <v>4.0</v>
      </c>
      <c r="F7" s="4">
        <v>4.0</v>
      </c>
      <c r="G7" s="3">
        <v>3890.0</v>
      </c>
      <c r="H7" s="3">
        <v>2686.0</v>
      </c>
      <c r="I7" s="3">
        <v>594.0</v>
      </c>
      <c r="J7" s="4">
        <v>3.0</v>
      </c>
      <c r="K7" s="3">
        <v>7996.0</v>
      </c>
      <c r="L7" s="3">
        <v>6886.0</v>
      </c>
      <c r="M7" s="3" t="s">
        <v>54</v>
      </c>
      <c r="N7" s="3" t="s">
        <v>55</v>
      </c>
      <c r="O7" s="3" t="s">
        <v>56</v>
      </c>
      <c r="P7" s="3" t="s">
        <v>57</v>
      </c>
      <c r="Q7" s="3" t="s">
        <v>58</v>
      </c>
      <c r="R7" s="3" t="s">
        <v>59</v>
      </c>
    </row>
    <row r="8">
      <c r="A8" s="3" t="s">
        <v>60</v>
      </c>
      <c r="B8" s="4">
        <v>37.0</v>
      </c>
      <c r="C8" s="4">
        <v>17.0</v>
      </c>
      <c r="D8" s="4">
        <v>10.0</v>
      </c>
      <c r="E8" s="4">
        <v>5.0</v>
      </c>
      <c r="F8" s="4">
        <v>6.0</v>
      </c>
      <c r="G8" s="3">
        <v>8759.0</v>
      </c>
      <c r="H8" s="3">
        <v>6048.0</v>
      </c>
      <c r="I8" s="3">
        <v>1621.0</v>
      </c>
      <c r="J8" s="4">
        <v>4.0</v>
      </c>
      <c r="K8" s="3">
        <v>9760.0</v>
      </c>
      <c r="L8" s="3">
        <v>8564.0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</row>
    <row r="9">
      <c r="A9" s="3" t="s">
        <v>67</v>
      </c>
      <c r="B9" s="4">
        <v>190.0</v>
      </c>
      <c r="C9" s="4">
        <v>100.0</v>
      </c>
      <c r="D9" s="4">
        <v>22.0</v>
      </c>
      <c r="E9" s="4">
        <v>11.0</v>
      </c>
      <c r="F9" s="4">
        <v>36.0</v>
      </c>
      <c r="G9" s="3">
        <v>37610.0</v>
      </c>
      <c r="H9" s="3">
        <v>10000.0</v>
      </c>
      <c r="I9" s="3">
        <v>6953.0</v>
      </c>
      <c r="J9" s="4">
        <v>9.0</v>
      </c>
      <c r="K9" s="3">
        <v>21976.0</v>
      </c>
      <c r="L9" s="3">
        <v>10000.0</v>
      </c>
      <c r="M9" s="3" t="s">
        <v>68</v>
      </c>
      <c r="N9" s="3" t="s">
        <v>20</v>
      </c>
      <c r="O9" s="3" t="s">
        <v>69</v>
      </c>
      <c r="P9" s="3" t="s">
        <v>22</v>
      </c>
      <c r="Q9" s="3" t="s">
        <v>70</v>
      </c>
      <c r="R9" s="3" t="s">
        <v>24</v>
      </c>
    </row>
    <row r="10">
      <c r="A10" s="3" t="s">
        <v>71</v>
      </c>
      <c r="B10" s="4">
        <v>18.0</v>
      </c>
      <c r="C10" s="4">
        <v>8.0</v>
      </c>
      <c r="D10" s="4">
        <v>21.0</v>
      </c>
      <c r="E10" s="4">
        <v>8.0</v>
      </c>
      <c r="F10" s="4">
        <v>1.0</v>
      </c>
      <c r="G10" s="3">
        <v>1908.0</v>
      </c>
      <c r="H10" s="3">
        <v>1346.0</v>
      </c>
      <c r="I10" s="3">
        <v>256.0</v>
      </c>
      <c r="J10" s="4">
        <v>3.0</v>
      </c>
      <c r="K10" s="3">
        <v>20764.0</v>
      </c>
      <c r="L10" s="3">
        <v>10000.0</v>
      </c>
      <c r="M10" s="3" t="s">
        <v>72</v>
      </c>
      <c r="N10" s="3" t="s">
        <v>62</v>
      </c>
      <c r="O10" s="3" t="s">
        <v>73</v>
      </c>
      <c r="P10" s="3" t="s">
        <v>64</v>
      </c>
      <c r="Q10" s="3" t="s">
        <v>74</v>
      </c>
      <c r="R10" s="3" t="s">
        <v>66</v>
      </c>
    </row>
    <row r="11">
      <c r="A11" s="3" t="s">
        <v>75</v>
      </c>
      <c r="B11" s="4">
        <v>28.0</v>
      </c>
      <c r="C11" s="4">
        <v>14.0</v>
      </c>
      <c r="D11" s="4">
        <v>53.0</v>
      </c>
      <c r="E11" s="4">
        <v>26.0</v>
      </c>
      <c r="F11" s="4">
        <v>13.0</v>
      </c>
      <c r="G11" s="3">
        <v>21408.0</v>
      </c>
      <c r="H11" s="3">
        <v>10000.0</v>
      </c>
      <c r="I11" s="3">
        <v>3740.0</v>
      </c>
      <c r="J11" s="4">
        <v>18.0</v>
      </c>
      <c r="K11" s="3">
        <v>52263.0</v>
      </c>
      <c r="L11" s="3">
        <v>10000.0</v>
      </c>
      <c r="M11" s="3" t="s">
        <v>76</v>
      </c>
      <c r="N11" s="3" t="s">
        <v>77</v>
      </c>
      <c r="O11" s="3" t="s">
        <v>78</v>
      </c>
      <c r="P11" s="3" t="s">
        <v>79</v>
      </c>
      <c r="Q11" s="3" t="s">
        <v>80</v>
      </c>
      <c r="R11" s="3" t="s">
        <v>81</v>
      </c>
    </row>
    <row r="12">
      <c r="A12" s="3" t="s">
        <v>82</v>
      </c>
      <c r="B12" s="4">
        <v>37.0</v>
      </c>
      <c r="C12" s="4">
        <v>18.0</v>
      </c>
      <c r="D12" s="4">
        <v>29.0</v>
      </c>
      <c r="E12" s="4">
        <v>12.0</v>
      </c>
      <c r="F12" s="4">
        <v>9.0</v>
      </c>
      <c r="G12" s="3">
        <v>14160.0</v>
      </c>
      <c r="H12" s="3">
        <v>9734.0</v>
      </c>
      <c r="I12" s="3">
        <v>2475.0</v>
      </c>
      <c r="J12" s="4">
        <v>11.0</v>
      </c>
      <c r="K12" s="3">
        <v>11887.0</v>
      </c>
      <c r="L12" s="3">
        <v>10000.0</v>
      </c>
      <c r="M12" s="3" t="s">
        <v>83</v>
      </c>
      <c r="N12" s="3" t="s">
        <v>77</v>
      </c>
      <c r="O12" s="3" t="s">
        <v>84</v>
      </c>
      <c r="P12" s="3" t="s">
        <v>79</v>
      </c>
      <c r="Q12" s="3" t="s">
        <v>85</v>
      </c>
      <c r="R12" s="3" t="s">
        <v>81</v>
      </c>
    </row>
    <row r="13">
      <c r="A13" s="3" t="s">
        <v>86</v>
      </c>
      <c r="B13" s="4">
        <v>44.0</v>
      </c>
      <c r="C13" s="4">
        <v>19.0</v>
      </c>
      <c r="D13" s="4">
        <v>36.0</v>
      </c>
      <c r="E13" s="4">
        <v>17.0</v>
      </c>
      <c r="F13" s="4">
        <v>9.0</v>
      </c>
      <c r="G13" s="3">
        <v>12830.0</v>
      </c>
      <c r="H13" s="3">
        <v>8900.0</v>
      </c>
      <c r="I13" s="3">
        <v>2046.0</v>
      </c>
      <c r="J13" s="4">
        <v>4.0</v>
      </c>
      <c r="K13" s="3">
        <v>35742.0</v>
      </c>
      <c r="L13" s="3">
        <v>10000.0</v>
      </c>
      <c r="M13" s="3" t="s">
        <v>87</v>
      </c>
      <c r="N13" s="3" t="s">
        <v>77</v>
      </c>
      <c r="O13" s="3" t="s">
        <v>88</v>
      </c>
      <c r="P13" s="3" t="s">
        <v>79</v>
      </c>
      <c r="Q13" s="3" t="s">
        <v>89</v>
      </c>
      <c r="R13" s="3" t="s">
        <v>81</v>
      </c>
    </row>
    <row r="14">
      <c r="A14" s="3" t="s">
        <v>90</v>
      </c>
      <c r="B14" s="4">
        <v>47.0</v>
      </c>
      <c r="C14" s="4">
        <v>26.0</v>
      </c>
      <c r="D14" s="4">
        <v>41.0</v>
      </c>
      <c r="E14" s="4">
        <v>23.0</v>
      </c>
      <c r="F14" s="4">
        <v>14.0</v>
      </c>
      <c r="G14" s="3">
        <v>10774.0</v>
      </c>
      <c r="H14" s="3">
        <v>7758.0</v>
      </c>
      <c r="I14" s="3">
        <v>1800.0</v>
      </c>
      <c r="J14" s="4">
        <v>5.0</v>
      </c>
      <c r="K14" s="3">
        <v>40750.0</v>
      </c>
      <c r="L14" s="3">
        <v>10000.0</v>
      </c>
      <c r="M14" s="3" t="s">
        <v>91</v>
      </c>
      <c r="N14" s="3" t="s">
        <v>20</v>
      </c>
      <c r="O14" s="3" t="s">
        <v>92</v>
      </c>
      <c r="P14" s="3" t="s">
        <v>22</v>
      </c>
      <c r="Q14" s="3" t="s">
        <v>93</v>
      </c>
      <c r="R14" s="3" t="s">
        <v>24</v>
      </c>
    </row>
    <row r="15">
      <c r="A15" s="3" t="s">
        <v>94</v>
      </c>
      <c r="B15" s="4">
        <v>26.0</v>
      </c>
      <c r="C15" s="4">
        <v>13.0</v>
      </c>
      <c r="D15" s="4">
        <v>20.0</v>
      </c>
      <c r="E15" s="4">
        <v>10.0</v>
      </c>
      <c r="F15" s="4">
        <v>8.0</v>
      </c>
      <c r="G15" s="3">
        <v>14038.0</v>
      </c>
      <c r="H15" s="3">
        <v>10000.0</v>
      </c>
      <c r="I15" s="3">
        <v>1914.0</v>
      </c>
      <c r="J15" s="4">
        <v>4.0</v>
      </c>
      <c r="K15" s="3">
        <v>19898.0</v>
      </c>
      <c r="L15" s="3">
        <v>10000.0</v>
      </c>
      <c r="M15" s="3" t="s">
        <v>95</v>
      </c>
      <c r="N15" s="3" t="s">
        <v>20</v>
      </c>
      <c r="O15" s="3" t="s">
        <v>96</v>
      </c>
      <c r="P15" s="3" t="s">
        <v>22</v>
      </c>
      <c r="Q15" s="3" t="s">
        <v>97</v>
      </c>
      <c r="R15" s="3" t="s">
        <v>24</v>
      </c>
    </row>
    <row r="16">
      <c r="A16" s="3" t="s">
        <v>98</v>
      </c>
      <c r="B16" s="4">
        <v>11.0</v>
      </c>
      <c r="C16" s="4">
        <v>5.0</v>
      </c>
      <c r="D16" s="4">
        <v>13.0</v>
      </c>
      <c r="E16" s="4">
        <v>6.0</v>
      </c>
      <c r="F16" s="4">
        <v>5.0</v>
      </c>
      <c r="G16" s="3">
        <v>4650.0</v>
      </c>
      <c r="H16" s="3">
        <v>3280.0</v>
      </c>
      <c r="I16" s="3">
        <v>765.0</v>
      </c>
      <c r="J16" s="4">
        <v>4.0</v>
      </c>
      <c r="K16" s="3">
        <v>6983.0</v>
      </c>
      <c r="L16" s="3">
        <v>6121.0</v>
      </c>
      <c r="M16" s="3" t="s">
        <v>99</v>
      </c>
      <c r="N16" s="3" t="s">
        <v>62</v>
      </c>
      <c r="O16" s="3" t="s">
        <v>100</v>
      </c>
      <c r="P16" s="3" t="s">
        <v>64</v>
      </c>
      <c r="Q16" s="3" t="s">
        <v>101</v>
      </c>
      <c r="R16" s="3" t="s">
        <v>66</v>
      </c>
    </row>
    <row r="17">
      <c r="A17" s="3" t="s">
        <v>102</v>
      </c>
      <c r="B17" s="4">
        <v>12.0</v>
      </c>
      <c r="C17" s="4">
        <v>6.0</v>
      </c>
      <c r="D17" s="4">
        <v>16.0</v>
      </c>
      <c r="E17" s="4">
        <v>7.0</v>
      </c>
      <c r="F17" s="4">
        <v>6.0</v>
      </c>
      <c r="G17" s="3">
        <v>9948.0</v>
      </c>
      <c r="H17" s="3">
        <v>6960.0</v>
      </c>
      <c r="I17" s="3">
        <v>1518.0</v>
      </c>
      <c r="J17" s="4">
        <v>3.0</v>
      </c>
      <c r="K17" s="3">
        <v>15980.0</v>
      </c>
      <c r="L17" s="3">
        <v>10000.0</v>
      </c>
      <c r="M17" s="3" t="s">
        <v>103</v>
      </c>
      <c r="N17" s="3" t="s">
        <v>62</v>
      </c>
      <c r="O17" s="3" t="s">
        <v>104</v>
      </c>
      <c r="P17" s="3" t="s">
        <v>64</v>
      </c>
      <c r="Q17" s="3" t="s">
        <v>105</v>
      </c>
      <c r="R17" s="3" t="s">
        <v>66</v>
      </c>
    </row>
    <row r="18">
      <c r="A18" s="3" t="s">
        <v>106</v>
      </c>
      <c r="B18" s="4">
        <v>33.0</v>
      </c>
      <c r="C18" s="4">
        <v>17.0</v>
      </c>
      <c r="D18" s="4">
        <v>12.0</v>
      </c>
      <c r="E18" s="4">
        <v>6.0</v>
      </c>
      <c r="F18" s="4">
        <v>10.0</v>
      </c>
      <c r="G18" s="3">
        <v>16811.0</v>
      </c>
      <c r="H18" s="3">
        <v>10000.0</v>
      </c>
      <c r="I18" s="3">
        <v>2459.0</v>
      </c>
      <c r="J18" s="4">
        <v>5.0</v>
      </c>
      <c r="K18" s="3">
        <v>11894.0</v>
      </c>
      <c r="L18" s="3">
        <v>10000.0</v>
      </c>
      <c r="M18" s="3" t="s">
        <v>107</v>
      </c>
      <c r="N18" s="3" t="s">
        <v>34</v>
      </c>
      <c r="O18" s="3" t="s">
        <v>108</v>
      </c>
      <c r="P18" s="3" t="s">
        <v>36</v>
      </c>
      <c r="Q18" s="3" t="s">
        <v>109</v>
      </c>
      <c r="R18" s="3" t="s">
        <v>38</v>
      </c>
    </row>
    <row r="19">
      <c r="A19" s="3" t="s">
        <v>110</v>
      </c>
      <c r="B19" s="4">
        <v>6.0</v>
      </c>
      <c r="C19" s="4">
        <v>3.0</v>
      </c>
      <c r="D19" s="4">
        <v>6.0</v>
      </c>
      <c r="E19" s="4">
        <v>3.0</v>
      </c>
      <c r="F19" s="4">
        <v>2.0</v>
      </c>
      <c r="G19" s="3">
        <v>3514.0</v>
      </c>
      <c r="H19" s="3">
        <v>2458.0</v>
      </c>
      <c r="I19" s="3">
        <v>468.0</v>
      </c>
      <c r="J19" s="4">
        <v>3.0</v>
      </c>
      <c r="K19" s="3">
        <v>5998.0</v>
      </c>
      <c r="L19" s="3">
        <v>5142.0</v>
      </c>
      <c r="M19" s="3" t="s">
        <v>111</v>
      </c>
      <c r="N19" s="3" t="s">
        <v>34</v>
      </c>
      <c r="O19" s="3" t="s">
        <v>112</v>
      </c>
      <c r="P19" s="3" t="s">
        <v>36</v>
      </c>
      <c r="Q19" s="3" t="s">
        <v>113</v>
      </c>
      <c r="R19" s="3" t="s">
        <v>38</v>
      </c>
    </row>
    <row r="20">
      <c r="A20" s="3" t="s">
        <v>114</v>
      </c>
      <c r="B20" s="4">
        <v>42.0</v>
      </c>
      <c r="C20" s="4">
        <v>21.0</v>
      </c>
      <c r="D20" s="4">
        <v>8.0</v>
      </c>
      <c r="E20" s="4">
        <v>4.0</v>
      </c>
      <c r="F20" s="4">
        <v>19.0</v>
      </c>
      <c r="G20" s="3">
        <v>36740.0</v>
      </c>
      <c r="H20" s="3">
        <v>10000.0</v>
      </c>
      <c r="I20" s="3">
        <v>5456.0</v>
      </c>
      <c r="J20" s="4">
        <v>4.0</v>
      </c>
      <c r="K20" s="3">
        <v>7996.0</v>
      </c>
      <c r="L20" s="3">
        <v>6650.0</v>
      </c>
      <c r="M20" s="3" t="s">
        <v>115</v>
      </c>
      <c r="N20" s="3" t="s">
        <v>116</v>
      </c>
      <c r="O20" s="3" t="s">
        <v>117</v>
      </c>
      <c r="P20" s="3" t="s">
        <v>118</v>
      </c>
      <c r="Q20" s="3" t="s">
        <v>119</v>
      </c>
      <c r="R20" s="3" t="s">
        <v>120</v>
      </c>
    </row>
    <row r="21">
      <c r="A21" s="3" t="s">
        <v>121</v>
      </c>
      <c r="B21" s="4">
        <v>110.0</v>
      </c>
      <c r="C21" s="4">
        <v>55.0</v>
      </c>
      <c r="D21" s="4">
        <v>51.0</v>
      </c>
      <c r="E21" s="4">
        <v>25.0</v>
      </c>
      <c r="F21" s="4">
        <v>28.0</v>
      </c>
      <c r="G21" s="3">
        <v>54816.0</v>
      </c>
      <c r="H21" s="3">
        <v>10000.0</v>
      </c>
      <c r="I21" s="3">
        <v>8356.0</v>
      </c>
      <c r="J21" s="4">
        <v>6.0</v>
      </c>
      <c r="K21" s="3">
        <v>16968.0</v>
      </c>
      <c r="L21" s="3">
        <v>10000.0</v>
      </c>
      <c r="M21" s="3" t="s">
        <v>122</v>
      </c>
      <c r="N21" s="3" t="s">
        <v>116</v>
      </c>
      <c r="O21" s="3" t="s">
        <v>123</v>
      </c>
      <c r="P21" s="3" t="s">
        <v>118</v>
      </c>
      <c r="Q21" s="3" t="s">
        <v>124</v>
      </c>
      <c r="R21" s="3" t="s">
        <v>120</v>
      </c>
    </row>
    <row r="22">
      <c r="A22" s="3" t="s">
        <v>125</v>
      </c>
      <c r="B22" s="4">
        <v>48.0</v>
      </c>
      <c r="C22" s="4">
        <v>26.0</v>
      </c>
      <c r="D22" s="4">
        <v>14.0</v>
      </c>
      <c r="E22" s="4">
        <v>7.0</v>
      </c>
      <c r="F22" s="4">
        <v>11.0</v>
      </c>
      <c r="G22" s="3">
        <v>990.0</v>
      </c>
      <c r="H22" s="3">
        <v>662.0</v>
      </c>
      <c r="I22" s="3">
        <v>240.0</v>
      </c>
      <c r="J22" s="4">
        <v>4.0</v>
      </c>
      <c r="K22" s="3">
        <v>2994.0</v>
      </c>
      <c r="L22" s="3">
        <v>2669.0</v>
      </c>
      <c r="M22" s="3" t="s">
        <v>126</v>
      </c>
      <c r="N22" s="3" t="s">
        <v>127</v>
      </c>
      <c r="O22" s="3" t="s">
        <v>128</v>
      </c>
      <c r="P22" s="3" t="s">
        <v>129</v>
      </c>
      <c r="Q22" s="3" t="s">
        <v>130</v>
      </c>
      <c r="R22" s="3" t="s">
        <v>131</v>
      </c>
    </row>
    <row r="23">
      <c r="A23" s="3" t="s">
        <v>132</v>
      </c>
      <c r="B23" s="4">
        <v>17.0</v>
      </c>
      <c r="C23" s="4">
        <v>11.0</v>
      </c>
      <c r="D23" s="4">
        <v>52.0</v>
      </c>
      <c r="E23" s="4">
        <v>31.0</v>
      </c>
      <c r="F23" s="4">
        <v>5.0</v>
      </c>
      <c r="G23" s="3">
        <v>7981.0</v>
      </c>
      <c r="H23" s="3">
        <v>5435.0</v>
      </c>
      <c r="I23" s="3">
        <v>1390.0</v>
      </c>
      <c r="J23" s="4">
        <v>10.0</v>
      </c>
      <c r="K23" s="3">
        <v>51434.0</v>
      </c>
      <c r="L23" s="3">
        <v>10000.0</v>
      </c>
      <c r="M23" s="3" t="s">
        <v>133</v>
      </c>
      <c r="N23" s="3" t="s">
        <v>20</v>
      </c>
      <c r="O23" s="3" t="s">
        <v>134</v>
      </c>
      <c r="P23" s="3" t="s">
        <v>22</v>
      </c>
      <c r="Q23" s="3" t="s">
        <v>135</v>
      </c>
      <c r="R23" s="3" t="s">
        <v>24</v>
      </c>
    </row>
    <row r="24">
      <c r="A24" s="3" t="s">
        <v>136</v>
      </c>
      <c r="B24" s="4">
        <v>19.0</v>
      </c>
      <c r="C24" s="4">
        <v>9.0</v>
      </c>
      <c r="D24" s="4">
        <v>5.0</v>
      </c>
      <c r="E24" s="4">
        <v>3.0</v>
      </c>
      <c r="F24" s="4">
        <v>2.0</v>
      </c>
      <c r="G24" s="3">
        <v>1796.0</v>
      </c>
      <c r="H24" s="3">
        <v>1260.0</v>
      </c>
      <c r="I24" s="3">
        <v>296.0</v>
      </c>
      <c r="J24" s="4">
        <v>3.0</v>
      </c>
      <c r="K24" s="3">
        <v>4476.0</v>
      </c>
      <c r="L24" s="3">
        <v>3984.0</v>
      </c>
      <c r="M24" s="3" t="s">
        <v>137</v>
      </c>
      <c r="N24" s="3" t="s">
        <v>20</v>
      </c>
      <c r="O24" s="3" t="s">
        <v>138</v>
      </c>
      <c r="P24" s="3" t="s">
        <v>22</v>
      </c>
      <c r="Q24" s="3" t="s">
        <v>139</v>
      </c>
      <c r="R24" s="3" t="s">
        <v>24</v>
      </c>
    </row>
    <row r="25">
      <c r="A25" s="3" t="s">
        <v>140</v>
      </c>
      <c r="B25" s="4">
        <v>70.0</v>
      </c>
      <c r="C25" s="4">
        <v>36.0</v>
      </c>
      <c r="D25" s="4">
        <v>19.0</v>
      </c>
      <c r="E25" s="4">
        <v>10.0</v>
      </c>
      <c r="F25" s="4">
        <v>33.0</v>
      </c>
      <c r="G25" s="3">
        <v>62640.0</v>
      </c>
      <c r="H25" s="3">
        <v>10000.0</v>
      </c>
      <c r="I25" s="3">
        <v>9453.0</v>
      </c>
      <c r="J25" s="4">
        <v>5.0</v>
      </c>
      <c r="K25" s="3">
        <v>18322.0</v>
      </c>
      <c r="L25" s="3">
        <v>10000.0</v>
      </c>
      <c r="M25" s="3" t="s">
        <v>141</v>
      </c>
      <c r="N25" s="3" t="s">
        <v>48</v>
      </c>
      <c r="O25" s="3" t="s">
        <v>142</v>
      </c>
      <c r="P25" s="3" t="s">
        <v>50</v>
      </c>
      <c r="Q25" s="3" t="s">
        <v>143</v>
      </c>
      <c r="R25" s="3" t="s">
        <v>52</v>
      </c>
    </row>
    <row r="26">
      <c r="A26" s="3" t="s">
        <v>144</v>
      </c>
      <c r="B26" s="4">
        <v>39.0</v>
      </c>
      <c r="C26" s="4">
        <v>20.0</v>
      </c>
      <c r="D26" s="4">
        <v>28.0</v>
      </c>
      <c r="E26" s="4">
        <v>13.0</v>
      </c>
      <c r="F26" s="4">
        <v>9.0</v>
      </c>
      <c r="G26" s="3">
        <v>14717.0</v>
      </c>
      <c r="H26" s="3">
        <v>10000.0</v>
      </c>
      <c r="I26" s="3">
        <v>2554.0</v>
      </c>
      <c r="J26" s="4">
        <v>8.0</v>
      </c>
      <c r="K26" s="3">
        <v>26789.0</v>
      </c>
      <c r="L26" s="3">
        <v>10000.0</v>
      </c>
      <c r="M26" s="3" t="s">
        <v>145</v>
      </c>
      <c r="N26" s="3" t="s">
        <v>146</v>
      </c>
      <c r="O26" s="3" t="s">
        <v>147</v>
      </c>
      <c r="P26" s="3" t="s">
        <v>148</v>
      </c>
      <c r="Q26" s="3" t="s">
        <v>149</v>
      </c>
      <c r="R26" s="3" t="s">
        <v>150</v>
      </c>
    </row>
    <row r="27">
      <c r="A27" s="3" t="s">
        <v>151</v>
      </c>
      <c r="B27" s="4">
        <v>9.0</v>
      </c>
      <c r="C27" s="4">
        <v>4.0</v>
      </c>
      <c r="D27" s="4">
        <v>53.0</v>
      </c>
      <c r="E27" s="4">
        <v>26.0</v>
      </c>
      <c r="F27" s="4">
        <v>4.0</v>
      </c>
      <c r="G27" s="3">
        <v>5399.0</v>
      </c>
      <c r="H27" s="3">
        <v>3918.0</v>
      </c>
      <c r="I27" s="3">
        <v>786.0</v>
      </c>
      <c r="J27" s="4">
        <v>9.0</v>
      </c>
      <c r="K27" s="3">
        <v>52168.0</v>
      </c>
      <c r="L27" s="3">
        <v>10000.0</v>
      </c>
      <c r="M27" s="3" t="s">
        <v>42</v>
      </c>
      <c r="N27" s="3" t="s">
        <v>20</v>
      </c>
      <c r="O27" s="3" t="s">
        <v>148</v>
      </c>
      <c r="P27" s="3" t="s">
        <v>22</v>
      </c>
      <c r="Q27" s="3" t="s">
        <v>152</v>
      </c>
      <c r="R27" s="3" t="s">
        <v>24</v>
      </c>
    </row>
    <row r="28">
      <c r="A28" s="3" t="s">
        <v>153</v>
      </c>
      <c r="B28" s="4">
        <v>30.0</v>
      </c>
      <c r="C28" s="4">
        <v>16.0</v>
      </c>
      <c r="D28" s="4">
        <v>40.0</v>
      </c>
      <c r="E28" s="4">
        <v>27.0</v>
      </c>
      <c r="F28" s="4">
        <v>5.0</v>
      </c>
      <c r="G28" s="3">
        <v>8980.0</v>
      </c>
      <c r="H28" s="3">
        <v>6374.0</v>
      </c>
      <c r="I28" s="3">
        <v>1382.0</v>
      </c>
      <c r="J28" s="4">
        <v>12.0</v>
      </c>
      <c r="K28" s="3">
        <v>39787.0</v>
      </c>
      <c r="L28" s="3">
        <v>10000.0</v>
      </c>
      <c r="M28" s="3" t="s">
        <v>154</v>
      </c>
      <c r="N28" s="3" t="s">
        <v>155</v>
      </c>
      <c r="O28" s="3" t="s">
        <v>156</v>
      </c>
      <c r="P28" s="3" t="s">
        <v>157</v>
      </c>
      <c r="Q28" s="3" t="s">
        <v>158</v>
      </c>
      <c r="R28" s="3" t="s">
        <v>159</v>
      </c>
    </row>
    <row r="29">
      <c r="A29" s="3" t="s">
        <v>160</v>
      </c>
      <c r="B29" s="4">
        <v>42.0</v>
      </c>
      <c r="C29" s="4">
        <v>21.0</v>
      </c>
      <c r="D29" s="4">
        <v>132.0</v>
      </c>
      <c r="E29" s="4">
        <v>30.0</v>
      </c>
      <c r="F29" s="4">
        <v>11.0</v>
      </c>
      <c r="G29" s="3">
        <v>18900.0</v>
      </c>
      <c r="H29" s="3">
        <v>10000.0</v>
      </c>
      <c r="I29" s="3">
        <v>2968.0</v>
      </c>
      <c r="J29" s="4">
        <v>18.0</v>
      </c>
      <c r="K29" s="3">
        <v>131788.0</v>
      </c>
      <c r="L29" s="3">
        <v>10000.0</v>
      </c>
      <c r="M29" s="3" t="s">
        <v>161</v>
      </c>
      <c r="N29" s="3" t="s">
        <v>62</v>
      </c>
      <c r="O29" s="3" t="s">
        <v>162</v>
      </c>
      <c r="P29" s="3" t="s">
        <v>64</v>
      </c>
      <c r="Q29" s="3" t="s">
        <v>163</v>
      </c>
      <c r="R29" s="3" t="s">
        <v>66</v>
      </c>
    </row>
    <row r="30">
      <c r="A30" s="3" t="s">
        <v>164</v>
      </c>
      <c r="B30" s="4">
        <v>14.0</v>
      </c>
      <c r="C30" s="4">
        <v>11.0</v>
      </c>
      <c r="D30" s="4">
        <v>5.0</v>
      </c>
      <c r="E30" s="4">
        <v>3.0</v>
      </c>
      <c r="F30" s="4">
        <v>11.0</v>
      </c>
      <c r="G30" s="3">
        <v>12089.0</v>
      </c>
      <c r="H30" s="3">
        <v>8305.0</v>
      </c>
      <c r="I30" s="3">
        <v>1939.0</v>
      </c>
      <c r="J30" s="4">
        <v>3.0</v>
      </c>
      <c r="K30" s="3">
        <v>2994.0</v>
      </c>
      <c r="L30" s="3">
        <v>2642.0</v>
      </c>
      <c r="M30" s="3" t="s">
        <v>165</v>
      </c>
      <c r="N30" s="3" t="s">
        <v>166</v>
      </c>
      <c r="O30" s="3" t="s">
        <v>167</v>
      </c>
      <c r="P30" s="3" t="s">
        <v>168</v>
      </c>
      <c r="Q30" s="3" t="s">
        <v>169</v>
      </c>
      <c r="R30" s="3" t="s">
        <v>170</v>
      </c>
    </row>
    <row r="31">
      <c r="A31" s="3" t="s">
        <v>171</v>
      </c>
      <c r="B31" s="4">
        <v>9.0</v>
      </c>
      <c r="C31" s="4">
        <v>5.0</v>
      </c>
      <c r="D31" s="4">
        <v>60.0</v>
      </c>
      <c r="E31" s="4">
        <v>32.0</v>
      </c>
      <c r="F31" s="4">
        <v>4.0</v>
      </c>
      <c r="G31" s="3">
        <v>3724.0</v>
      </c>
      <c r="H31" s="3">
        <v>2550.0</v>
      </c>
      <c r="I31" s="3">
        <v>550.0</v>
      </c>
      <c r="J31" s="4">
        <v>11.0</v>
      </c>
      <c r="K31" s="3">
        <v>59684.0</v>
      </c>
      <c r="L31" s="3">
        <v>10000.0</v>
      </c>
      <c r="M31" s="3" t="s">
        <v>172</v>
      </c>
      <c r="N31" s="3" t="s">
        <v>173</v>
      </c>
      <c r="O31" s="3" t="s">
        <v>174</v>
      </c>
      <c r="P31" s="3" t="s">
        <v>175</v>
      </c>
      <c r="Q31" s="3" t="s">
        <v>176</v>
      </c>
      <c r="R31" s="3" t="s">
        <v>177</v>
      </c>
    </row>
    <row r="32">
      <c r="A32" s="3" t="s">
        <v>178</v>
      </c>
      <c r="B32" s="4">
        <v>11.0</v>
      </c>
      <c r="C32" s="4">
        <v>6.0</v>
      </c>
      <c r="D32" s="4">
        <v>29.0</v>
      </c>
      <c r="E32" s="4">
        <v>20.0</v>
      </c>
      <c r="F32" s="4">
        <v>5.0</v>
      </c>
      <c r="G32" s="3">
        <v>6666.0</v>
      </c>
      <c r="H32" s="3">
        <v>4588.0</v>
      </c>
      <c r="I32" s="3">
        <v>1075.0</v>
      </c>
      <c r="J32" s="4">
        <v>3.0</v>
      </c>
      <c r="K32" s="3">
        <v>16879.0</v>
      </c>
      <c r="L32" s="3">
        <v>10000.0</v>
      </c>
      <c r="M32" s="3" t="s">
        <v>179</v>
      </c>
      <c r="N32" s="3" t="s">
        <v>173</v>
      </c>
      <c r="O32" s="3" t="s">
        <v>180</v>
      </c>
      <c r="P32" s="3" t="s">
        <v>175</v>
      </c>
      <c r="Q32" s="3" t="s">
        <v>181</v>
      </c>
      <c r="R32" s="3" t="s">
        <v>177</v>
      </c>
    </row>
    <row r="33">
      <c r="A33" s="3" t="s">
        <v>182</v>
      </c>
      <c r="B33" s="4">
        <v>5.0</v>
      </c>
      <c r="C33" s="4">
        <v>5.0</v>
      </c>
      <c r="D33" s="4">
        <v>15.0</v>
      </c>
      <c r="E33" s="4">
        <v>16.0</v>
      </c>
      <c r="F33" s="4">
        <v>3.0</v>
      </c>
      <c r="G33" s="3">
        <v>4452.0</v>
      </c>
      <c r="H33" s="3">
        <v>3000.0</v>
      </c>
      <c r="I33" s="3">
        <v>842.0</v>
      </c>
      <c r="J33" s="4">
        <v>4.0</v>
      </c>
      <c r="K33" s="3">
        <v>14948.0</v>
      </c>
      <c r="L33" s="3">
        <v>10000.0</v>
      </c>
      <c r="M33" s="3" t="s">
        <v>183</v>
      </c>
      <c r="N33" s="3" t="s">
        <v>173</v>
      </c>
      <c r="O33" s="3" t="s">
        <v>184</v>
      </c>
      <c r="P33" s="3" t="s">
        <v>175</v>
      </c>
      <c r="Q33" s="3" t="s">
        <v>185</v>
      </c>
      <c r="R33" s="3" t="s">
        <v>177</v>
      </c>
    </row>
    <row r="34">
      <c r="A34" s="3" t="s">
        <v>186</v>
      </c>
      <c r="B34" s="4">
        <v>16.0</v>
      </c>
      <c r="C34" s="4">
        <v>14.0</v>
      </c>
      <c r="D34" s="4">
        <v>17.0</v>
      </c>
      <c r="E34" s="4">
        <v>16.0</v>
      </c>
      <c r="F34" s="4">
        <v>10.0</v>
      </c>
      <c r="G34" s="3">
        <v>10127.0</v>
      </c>
      <c r="H34" s="3">
        <v>7020.0</v>
      </c>
      <c r="I34" s="3">
        <v>1682.0</v>
      </c>
      <c r="J34" s="4">
        <v>9.0</v>
      </c>
      <c r="K34" s="3">
        <v>16929.0</v>
      </c>
      <c r="L34" s="3">
        <v>10000.0</v>
      </c>
      <c r="M34" s="3" t="s">
        <v>187</v>
      </c>
      <c r="N34" s="3" t="s">
        <v>116</v>
      </c>
      <c r="O34" s="3" t="s">
        <v>188</v>
      </c>
      <c r="P34" s="3" t="s">
        <v>118</v>
      </c>
      <c r="Q34" s="3" t="s">
        <v>189</v>
      </c>
      <c r="R34" s="3" t="s">
        <v>120</v>
      </c>
    </row>
    <row r="35">
      <c r="A35" s="3" t="s">
        <v>190</v>
      </c>
      <c r="B35" s="4">
        <v>72.0</v>
      </c>
      <c r="C35" s="4">
        <v>36.0</v>
      </c>
      <c r="D35" s="4">
        <v>31.0</v>
      </c>
      <c r="E35" s="4">
        <v>16.0</v>
      </c>
      <c r="F35" s="4">
        <v>22.0</v>
      </c>
      <c r="G35" s="3">
        <v>2881.0</v>
      </c>
      <c r="H35" s="3">
        <v>2008.0</v>
      </c>
      <c r="I35" s="3">
        <v>428.0</v>
      </c>
      <c r="J35" s="4">
        <v>10.0</v>
      </c>
      <c r="K35" s="3">
        <v>18986.0</v>
      </c>
      <c r="L35" s="3">
        <v>10000.0</v>
      </c>
      <c r="M35" s="3" t="s">
        <v>191</v>
      </c>
      <c r="N35" s="3" t="s">
        <v>41</v>
      </c>
      <c r="O35" s="3" t="s">
        <v>192</v>
      </c>
      <c r="P35" s="3" t="s">
        <v>43</v>
      </c>
      <c r="Q35" s="3" t="s">
        <v>193</v>
      </c>
      <c r="R35" s="3" t="s">
        <v>45</v>
      </c>
    </row>
    <row r="36">
      <c r="A36" s="3" t="s">
        <v>194</v>
      </c>
      <c r="B36" s="4">
        <v>5.0</v>
      </c>
      <c r="C36" s="4">
        <v>3.0</v>
      </c>
      <c r="D36" s="4">
        <v>38.0</v>
      </c>
      <c r="E36" s="4">
        <v>19.0</v>
      </c>
      <c r="F36" s="4">
        <v>2.0</v>
      </c>
      <c r="G36" s="3">
        <v>2768.0</v>
      </c>
      <c r="H36" s="3">
        <v>1939.0</v>
      </c>
      <c r="I36" s="3">
        <v>428.0</v>
      </c>
      <c r="J36" s="4">
        <v>3.0</v>
      </c>
      <c r="K36" s="3">
        <v>35498.0</v>
      </c>
      <c r="L36" s="3">
        <v>10000.0</v>
      </c>
      <c r="M36" s="3" t="s">
        <v>195</v>
      </c>
      <c r="N36" s="3" t="s">
        <v>116</v>
      </c>
      <c r="O36" s="3" t="s">
        <v>196</v>
      </c>
      <c r="P36" s="3" t="s">
        <v>118</v>
      </c>
      <c r="Q36" s="3" t="s">
        <v>197</v>
      </c>
      <c r="R36" s="3" t="s">
        <v>120</v>
      </c>
    </row>
    <row r="37">
      <c r="A37" s="3" t="s">
        <v>198</v>
      </c>
      <c r="B37" s="4">
        <v>12.0</v>
      </c>
      <c r="C37" s="4">
        <v>6.0</v>
      </c>
      <c r="D37" s="4">
        <v>6.0</v>
      </c>
      <c r="E37" s="4">
        <v>3.0</v>
      </c>
      <c r="F37" s="4">
        <v>5.0</v>
      </c>
      <c r="G37" s="3">
        <v>9334.0</v>
      </c>
      <c r="H37" s="3">
        <v>6522.0</v>
      </c>
      <c r="I37" s="3">
        <v>1266.0</v>
      </c>
      <c r="J37" s="4">
        <v>3.0</v>
      </c>
      <c r="K37" s="3">
        <v>5978.0</v>
      </c>
      <c r="L37" s="3">
        <v>5144.0</v>
      </c>
      <c r="M37" s="3" t="s">
        <v>199</v>
      </c>
      <c r="N37" s="3" t="s">
        <v>116</v>
      </c>
      <c r="O37" s="3" t="s">
        <v>200</v>
      </c>
      <c r="P37" s="3" t="s">
        <v>118</v>
      </c>
      <c r="Q37" s="3" t="s">
        <v>201</v>
      </c>
      <c r="R37" s="3" t="s">
        <v>120</v>
      </c>
    </row>
    <row r="38">
      <c r="A38" s="6"/>
      <c r="B38" s="6">
        <f t="shared" ref="B38:L38" si="1">AVERAGE(B2:B37)</f>
        <v>41.55555556</v>
      </c>
      <c r="C38" s="6">
        <f t="shared" si="1"/>
        <v>21.66666667</v>
      </c>
      <c r="D38" s="6">
        <f t="shared" si="1"/>
        <v>33.11111111</v>
      </c>
      <c r="E38" s="6">
        <f t="shared" si="1"/>
        <v>16.33333333</v>
      </c>
      <c r="F38" s="6">
        <f t="shared" si="1"/>
        <v>11.5</v>
      </c>
      <c r="G38" s="6">
        <f t="shared" si="1"/>
        <v>16712.80556</v>
      </c>
      <c r="H38" s="6">
        <f t="shared" si="1"/>
        <v>6363.361111</v>
      </c>
      <c r="I38" s="6">
        <f t="shared" si="1"/>
        <v>2455.111111</v>
      </c>
      <c r="J38" s="6">
        <f t="shared" si="1"/>
        <v>8.055555556</v>
      </c>
      <c r="K38" s="6">
        <f t="shared" si="1"/>
        <v>30189.69444</v>
      </c>
      <c r="L38" s="6">
        <f t="shared" si="1"/>
        <v>8743.944444</v>
      </c>
      <c r="M38" s="6"/>
      <c r="N38" s="6"/>
      <c r="O38" s="6"/>
      <c r="P38" s="6"/>
      <c r="Q38" s="6"/>
      <c r="R38" s="6"/>
    </row>
    <row r="39">
      <c r="A39" s="6"/>
      <c r="B39" s="6">
        <f t="shared" ref="B39:L39" si="2">SUM(B2:B37)</f>
        <v>1496</v>
      </c>
      <c r="C39" s="6">
        <f t="shared" si="2"/>
        <v>780</v>
      </c>
      <c r="D39" s="6">
        <f t="shared" si="2"/>
        <v>1192</v>
      </c>
      <c r="E39" s="6">
        <f t="shared" si="2"/>
        <v>588</v>
      </c>
      <c r="F39" s="6">
        <f t="shared" si="2"/>
        <v>414</v>
      </c>
      <c r="G39" s="6">
        <f t="shared" si="2"/>
        <v>601661</v>
      </c>
      <c r="H39" s="6">
        <f t="shared" si="2"/>
        <v>229081</v>
      </c>
      <c r="I39" s="6">
        <f t="shared" si="2"/>
        <v>88384</v>
      </c>
      <c r="J39" s="6">
        <f t="shared" si="2"/>
        <v>290</v>
      </c>
      <c r="K39" s="6">
        <f t="shared" si="2"/>
        <v>1086829</v>
      </c>
      <c r="L39" s="6">
        <f t="shared" si="2"/>
        <v>314782</v>
      </c>
      <c r="M39" s="6"/>
      <c r="N39" s="6"/>
      <c r="O39" s="6"/>
      <c r="P39" s="6"/>
      <c r="Q39" s="6"/>
      <c r="R39" s="6"/>
    </row>
    <row r="40">
      <c r="A40" s="6"/>
      <c r="B40" s="6">
        <f>B39+C39</f>
        <v>2276</v>
      </c>
      <c r="C40" s="6"/>
      <c r="D40" s="6">
        <f>D39+E39</f>
        <v>1780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>
      <c r="A41" s="6"/>
      <c r="B41" s="6">
        <f>MEDIAN(B2:C37)</f>
        <v>17</v>
      </c>
      <c r="C41" s="6"/>
      <c r="D41" s="6">
        <f>MEDIAN(D2:E37)</f>
        <v>16.5</v>
      </c>
      <c r="E41" s="6"/>
      <c r="F41" s="6"/>
      <c r="G41" s="6">
        <f>MEDIAN(G2:G37,K2:K37)</f>
        <v>14099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>
      <c r="A42" s="6"/>
      <c r="B42" s="6">
        <f>AVERAGE(B2:C37)</f>
        <v>31.61111111</v>
      </c>
      <c r="C42" s="6"/>
      <c r="D42" s="6">
        <f>AVERAGE(D2:E37)</f>
        <v>24.72222222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</sheetData>
  <drawing r:id="rId1"/>
</worksheet>
</file>